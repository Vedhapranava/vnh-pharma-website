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1" activeTab="4"/>
  </bookViews>
  <sheets>
    <sheet name="Sheet1" sheetId="1" state="hidden" r:id="rId1"/>
    <sheet name="Pediac" sheetId="5" r:id="rId2"/>
    <sheet name="Ortho" sheetId="2" r:id="rId3"/>
    <sheet name="Neuro" sheetId="3" r:id="rId4"/>
    <sheet name="Gynac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<sst xmlns="http://schemas.openxmlformats.org/spreadsheetml/2006/main" count="298" uniqueCount="159">
  <si>
    <t>Sl.no</t>
  </si>
  <si>
    <t>Brand</t>
  </si>
  <si>
    <t>Composition</t>
  </si>
  <si>
    <t>MRP</t>
  </si>
  <si>
    <t>PTR</t>
  </si>
  <si>
    <t>CALVNH TAB</t>
  </si>
  <si>
    <t>Elemental Ca- 500 mg+ Vit D3-2000 IU, Methylcobalamin 1500 mcg, L Methylfolate calcium 1mg,Prridoxal 5 Phosphate - 20mg</t>
  </si>
  <si>
    <t>CEFDRIX - 100</t>
  </si>
  <si>
    <t>Cefpodoxime oral suspension IP 50/100mg</t>
  </si>
  <si>
    <t>CEFDRIX -TZ INJ</t>
  </si>
  <si>
    <t>Ceftriaxone 500mg &amp; Tazobactum 62.5mg</t>
  </si>
  <si>
    <t>CLAVRIX DROPS</t>
  </si>
  <si>
    <t>Amoxycillin 80mg+Clavulanic Acid 11.4mg</t>
  </si>
  <si>
    <t xml:space="preserve">CLAVRIX FORTE </t>
  </si>
  <si>
    <t>Amoxycillin 400mg+ Clavulanic Acid 57mg</t>
  </si>
  <si>
    <t xml:space="preserve">COGNI P </t>
  </si>
  <si>
    <t>Piracetam 500mg Syrup/5ml</t>
  </si>
  <si>
    <t>COLONEZ DF DROP</t>
  </si>
  <si>
    <t>Simethicone 40mg+Dill Oil 0.005ml+ Fennel oil 0.0007ml/30ml</t>
  </si>
  <si>
    <t>COLONEZ  PEG</t>
  </si>
  <si>
    <t>Polyethylene glycol 3350 USP 13.125g</t>
  </si>
  <si>
    <t>D3 EIGHT</t>
  </si>
  <si>
    <t>Cholecalciferol (Vitamin D3) 800 IU</t>
  </si>
  <si>
    <t>DE SATURATE</t>
  </si>
  <si>
    <t>Potassium Citrate,Magnesium citrate &amp; Vitamin B6 Oral solutions</t>
  </si>
  <si>
    <t xml:space="preserve">DEFLANORM </t>
  </si>
  <si>
    <t>Deflazacort  6mg/5ml</t>
  </si>
  <si>
    <t>D GOOD</t>
  </si>
  <si>
    <t>Vitamin D3 oral solution 60000  IU/5 ml</t>
  </si>
  <si>
    <t xml:space="preserve">ESMOFRESH </t>
  </si>
  <si>
    <t>Esomeprazole gastro-resistant tablets IP 40 mg</t>
  </si>
  <si>
    <t>ESMOFRESH DSR</t>
  </si>
  <si>
    <t>Esomeprazole &amp; Sustained release domperidone capsules</t>
  </si>
  <si>
    <t>FINEMEF -100</t>
  </si>
  <si>
    <t>Mefenamic Acid IP 100mg</t>
  </si>
  <si>
    <t>FINEMEF -DS</t>
  </si>
  <si>
    <t>Mefenamic Acid 100mg+ Paracetamol 250mg/5ml</t>
  </si>
  <si>
    <t>FLORABACI ORAL SUS</t>
  </si>
  <si>
    <t>Bacillus clausii 2 billion spores /5ml</t>
  </si>
  <si>
    <t xml:space="preserve">GF -18 </t>
  </si>
  <si>
    <t>Ubiquinone (Coenzyme Q10),Astaxanthin,L-Tartrate,Myo-Inositol,Melatonin,Berberine,D-Chiro-Inositol,Quatrefolic Acid tablets</t>
  </si>
  <si>
    <t>JIOMAX D3</t>
  </si>
  <si>
    <t>Calcitriol,methylcobalamin,calcium carbonate,eicosapentaenoic acid,docosahexaenoic acid,folic acid with boron capsules</t>
  </si>
  <si>
    <t xml:space="preserve">JOINTEE -C2 </t>
  </si>
  <si>
    <t>Collagen (Type II),Glucosamine,Chondroitin,Vit D3,Vits C,E,B12,Minerals &amp; Ginger extract</t>
  </si>
  <si>
    <t xml:space="preserve">JOINTEE  TF </t>
  </si>
  <si>
    <t>Collagen (Type I, II, V, X) 200 mg, Mucopolysaccharides 50mg , Chondriotin Sulphate 100 mg, Hyaluronic Acid 75mg capsules</t>
  </si>
  <si>
    <t>JOINTEE  CIS</t>
  </si>
  <si>
    <t>Cissus quadrangularis,withania somnifera, Ergocalciferal,Phasphorus,calcium,vitamin B12,Folic acid &amp; vitamin B6</t>
  </si>
  <si>
    <t xml:space="preserve">LAMINIF </t>
  </si>
  <si>
    <t xml:space="preserve">L Arginine 3g, Vitamin C  40mg, Vitamin E 10mg, Vit B6 2mg, Folic Acid 120mcg, Vitamin B12 1mcg, Zinc 10 mg per 15 ml </t>
  </si>
  <si>
    <t xml:space="preserve">LETMON </t>
  </si>
  <si>
    <t>Levocetirizine DiHcl 2.5mg+Montelukast Sodium 4mg</t>
  </si>
  <si>
    <t xml:space="preserve">LIDOPHEN EAR DROPS  </t>
  </si>
  <si>
    <t>Phenazone 4% w/v, Lidocaine 1% w/v</t>
  </si>
  <si>
    <t xml:space="preserve">MIGRACE </t>
  </si>
  <si>
    <t>Magnesium oxide,Coenzyme Q10 &amp; Riboflavin  Tablets</t>
  </si>
  <si>
    <t xml:space="preserve">OFLARIX -100  </t>
  </si>
  <si>
    <t>Ofloxacin 100mg/5ml</t>
  </si>
  <si>
    <t xml:space="preserve">ONDRIX </t>
  </si>
  <si>
    <t>Ondansetron 2mg/5ml</t>
  </si>
  <si>
    <t>PARA DS</t>
  </si>
  <si>
    <t>Paracetamol250mg/5ml oral suspension</t>
  </si>
  <si>
    <t>PURNAS 24 30 ML DROPS</t>
  </si>
  <si>
    <t>Multivitamin,Multimineral with L-Lysine Syrup</t>
  </si>
  <si>
    <t>PURNAS 24 100 ML SYP</t>
  </si>
  <si>
    <t>Multivitamin,Multimineral with L-Lysine</t>
  </si>
  <si>
    <t>PURNAS 24 200 ML SYP</t>
  </si>
  <si>
    <t xml:space="preserve">PURNAS 24 GOLD </t>
  </si>
  <si>
    <t>Amino Acids,Omega3,Antioxidant,Multivitamin &amp; Multimineral tablets</t>
  </si>
  <si>
    <t xml:space="preserve">RAFIRA </t>
  </si>
  <si>
    <t>Sodium Alginate, Calcium carbonate, Sodium Bicarbonate</t>
  </si>
  <si>
    <t>RELASMO DS</t>
  </si>
  <si>
    <t>Drotavereine</t>
  </si>
  <si>
    <t xml:space="preserve">TUBER FORTE  </t>
  </si>
  <si>
    <t>Aceclofenac,Paracetamol &amp; Trypsin chymotrypsin tablets</t>
  </si>
  <si>
    <t xml:space="preserve">TUFGABA GAT </t>
  </si>
  <si>
    <t>Gabapentin &amp; Amitriptyline tablets</t>
  </si>
  <si>
    <t xml:space="preserve">TUFGABA NT </t>
  </si>
  <si>
    <t>Gabapentin 100 mg &amp; Nortriptyline 10 mg tablets</t>
  </si>
  <si>
    <t>TUSNORM L SYP</t>
  </si>
  <si>
    <t>Levosalbutamol  1mg + Ambroxol 30mg+ Guaiphensin 50mg/5ml syrup</t>
  </si>
  <si>
    <t>TUSNORM LS JR SYP</t>
  </si>
  <si>
    <t>Levosalbutamol0.25 mg + Ambroxol 7.5 mg+ Guaiphensin 12.5 mg</t>
  </si>
  <si>
    <t>TUSNORM LS DROPS</t>
  </si>
  <si>
    <t>TUSNORM - XT</t>
  </si>
  <si>
    <t>Acebrophylline 50mg Guaiphenesin 50mg Terbutaline 12.5mg /5ml syrup</t>
  </si>
  <si>
    <t>VYDROX DROPS</t>
  </si>
  <si>
    <t>Hydroxyzine  Hcl 6mg Drops</t>
  </si>
  <si>
    <t xml:space="preserve">VYDROX </t>
  </si>
  <si>
    <t>Hydroxyzine  Hcl 10mg Solution</t>
  </si>
  <si>
    <t>WINHANCE TAB</t>
  </si>
  <si>
    <t>Benfotiamine 200 mg, Methylcobalamin 1000 nano gram , Alpha Lipoic Acid 200 mg, Folic acid 1.5 mg, Chromium Picolinate 200 mcg, D Chiro inositol 13.8mg,  Myo-Inositol 100 mg &amp; Pyridoxine Hydrochloride 3 mg Tablets, Vitamin D3 600 IU</t>
  </si>
  <si>
    <t>WRNZ BABY NOSAL DROPS</t>
  </si>
  <si>
    <t>Oxymetazoline 0.01% w/v</t>
  </si>
  <si>
    <t>WRNZ KID NOSAL DROPS</t>
  </si>
  <si>
    <t>Oxymetazoline 0.05% w/v</t>
  </si>
  <si>
    <t>WRNZ MINI NOSAL DROPS</t>
  </si>
  <si>
    <t>Oxymetazoline 0.025% w/v</t>
  </si>
  <si>
    <t>WRNZ S  NOSAL DROPS</t>
  </si>
  <si>
    <t>Sodium Chloride 0.65 5 w/v</t>
  </si>
  <si>
    <t>WRNZ DROPS</t>
  </si>
  <si>
    <t>Phenylephrine Hcl 5mg+CPM 2mg / ml drops</t>
  </si>
  <si>
    <t>WRNZ SYP</t>
  </si>
  <si>
    <t>Phenylephrine Hcl 5mg+CPM2mg / ml syrup</t>
  </si>
  <si>
    <t xml:space="preserve">ZNPD 20 DROPS </t>
  </si>
  <si>
    <t>Zinc sulphate (monohydrate) 20 mg</t>
  </si>
  <si>
    <t>ZNPD SYP</t>
  </si>
  <si>
    <t>Zinc  Gluconate  20mg syrup</t>
  </si>
  <si>
    <t>Ceftriaxone 250mg &amp; Tazobactum mg</t>
  </si>
  <si>
    <t>Polyethylene glycol 4000</t>
  </si>
  <si>
    <t>WRNZ BABY NASAL DROPS</t>
  </si>
  <si>
    <t>WRNZ KID NASAL DROPS</t>
  </si>
  <si>
    <t>WRNZ MINI NASAL DROPS</t>
  </si>
  <si>
    <t>WRNZ S  NASAL DROPS</t>
  </si>
  <si>
    <t>MIMOZA SOAP</t>
  </si>
  <si>
    <t>BABY SYNDET BAR SOAP</t>
  </si>
  <si>
    <t>MIMOZA SHAMPOO</t>
  </si>
  <si>
    <t>BABY SHAMPOO</t>
  </si>
  <si>
    <t>TANGIRON SYRUP</t>
  </si>
  <si>
    <t xml:space="preserve">LIPOSOMAL IRON </t>
  </si>
  <si>
    <t>TANGIRON DROPS</t>
  </si>
  <si>
    <t>LIPOSOMAL IRON FOLIC ACID</t>
  </si>
  <si>
    <t>DAILY SOLO DROPS</t>
  </si>
  <si>
    <r>
      <rPr>
        <sz val="10"/>
        <color rgb="FF000000"/>
        <rFont val="MS Sans Serif"/>
        <charset val="0"/>
      </rPr>
      <t>VIT A,D,E,K; Vit B1, B2, B6, B12, Folic Acid, Vit C,</t>
    </r>
    <r>
      <rPr>
        <b/>
        <sz val="10"/>
        <color rgb="FF000000"/>
        <rFont val="MS Sans Serif"/>
        <charset val="0"/>
      </rPr>
      <t xml:space="preserve"> Multiminerals, DHA, Leutin, Inulin, L.rhamnosus,  </t>
    </r>
  </si>
  <si>
    <t>DAILY SOLO SYRUP 100 ML</t>
  </si>
  <si>
    <r>
      <rPr>
        <sz val="10"/>
        <color rgb="FF000000"/>
        <rFont val="MS Sans Serif"/>
        <charset val="0"/>
      </rPr>
      <t>VIT A,D,E,K; Vit B1, B2, B6, B12, Folic Acid, Vit C,</t>
    </r>
    <r>
      <rPr>
        <b/>
        <sz val="10"/>
        <color rgb="FF000000"/>
        <rFont val="MS Sans Serif"/>
        <charset val="0"/>
      </rPr>
      <t>Liposomal Iron</t>
    </r>
    <r>
      <rPr>
        <sz val="10"/>
        <color rgb="FF000000"/>
        <rFont val="MS Sans Serif"/>
        <charset val="0"/>
      </rPr>
      <t xml:space="preserve">, Zn, Mg, I, Se, </t>
    </r>
    <r>
      <rPr>
        <b/>
        <sz val="10"/>
        <color rgb="FF000000"/>
        <rFont val="MS Sans Serif"/>
        <charset val="0"/>
      </rPr>
      <t xml:space="preserve">Choline, Inositol, Taurine, L carnitine, DHA, Leutin, Inulin, L.rhamnosus, L acidophilus, B.bifidium, Apple Pomegranite extract, </t>
    </r>
  </si>
  <si>
    <t>TUFGABA 100</t>
  </si>
  <si>
    <t>Gabapentin 100 mg tablets</t>
  </si>
  <si>
    <t>TUFGABA NT 100</t>
  </si>
  <si>
    <t>TUFGABA NT 200</t>
  </si>
  <si>
    <t>Gabapentin 200 mg &amp; Nortriptyline 10 mg tablets</t>
  </si>
  <si>
    <t xml:space="preserve">TUFGABA NT 400 </t>
  </si>
  <si>
    <t>Gabapentin 400 mg &amp; Nortriptyline 10 mg tablets</t>
  </si>
  <si>
    <t>Gabapentin 300 mg  &amp; Amitriptyline 10 mg tablets</t>
  </si>
  <si>
    <t>Migrace</t>
  </si>
  <si>
    <t>Magnesium Oxide 340 mg, Co-Enzyme Q10 150 mg, Riboflavin 1.6 mg Tablets</t>
  </si>
  <si>
    <t xml:space="preserve">Palminorm </t>
  </si>
  <si>
    <t>Palmitoylethanolamide 300 mg, Daidzein 50 mg, Genistein 4 mg Tablets</t>
  </si>
  <si>
    <t>Vestine 20</t>
  </si>
  <si>
    <t>Duloxetine 20 mg Tablets</t>
  </si>
  <si>
    <t>Colonez PEG</t>
  </si>
  <si>
    <t>Polyethylene Glycol 4000</t>
  </si>
  <si>
    <t>Gy</t>
  </si>
  <si>
    <t>LAMINIF syp</t>
  </si>
  <si>
    <t>GF -18 Tab</t>
  </si>
  <si>
    <t>D GOOD Respule</t>
  </si>
  <si>
    <t>COLONEZ  PEG Solution</t>
  </si>
  <si>
    <t>JIOMAX D3 cap</t>
  </si>
  <si>
    <t>ESMOFRESH Tab</t>
  </si>
  <si>
    <t>ESMOFRESH DSR Cap</t>
  </si>
  <si>
    <t>MIGRACE Tab</t>
  </si>
  <si>
    <t>DE SATURATE Sol</t>
  </si>
  <si>
    <t>Daily Solo Tab</t>
  </si>
  <si>
    <t>Astaxanthi, Herbs, Multivitamins, Multiminerals</t>
  </si>
  <si>
    <t>Daily Solo Syrup 200 ml</t>
  </si>
  <si>
    <t xml:space="preserve"> Multivitamins, Multiminerals</t>
  </si>
  <si>
    <t>Tangiron Syrup</t>
  </si>
  <si>
    <t>Liposomal Iron Folic Acid Syrup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</si>
</sst>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</numFmts>
  <fonts count="37">
    <font>
      <sz val="11"/>
      <color theme="1"/>
      <name val="Calibri"/>
      <charset val="134"/>
      <scheme val="minor"/>
    </font>
    <font>
      <b/>
      <sz val="12"/>
      <color theme="0"/>
      <name val="Times New Roman"/>
      <charset val="0"/>
    </font>
    <font>
      <b/>
      <sz val="12"/>
      <color theme="0"/>
      <name val="MS Sans Serif"/>
      <charset val="0"/>
    </font>
    <font>
      <b/>
      <sz val="12"/>
      <color theme="0"/>
      <name val="Arial"/>
      <charset val="0"/>
    </font>
    <font>
      <sz val="11"/>
      <color indexed="8"/>
      <name val="Times New Roman"/>
      <charset val="0"/>
    </font>
    <font>
      <b/>
      <sz val="10"/>
      <color indexed="8"/>
      <name val="Arial"/>
      <charset val="0"/>
    </font>
    <font>
      <sz val="10"/>
      <color indexed="8"/>
      <name val="MS Sans Serif"/>
      <charset val="0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sz val="11"/>
      <color indexed="8"/>
      <name val="Calibri"/>
      <charset val="0"/>
    </font>
    <font>
      <b/>
      <sz val="10"/>
      <color indexed="8"/>
      <name val="Calibri"/>
      <charset val="0"/>
    </font>
    <font>
      <sz val="10"/>
      <color indexed="8"/>
      <name val="Calibri"/>
      <charset val="0"/>
    </font>
    <font>
      <sz val="10.5"/>
      <color rgb="FF000000"/>
      <name val="Calibri"/>
      <charset val="0"/>
    </font>
    <font>
      <b/>
      <sz val="10"/>
      <color indexed="8"/>
      <name val="MS Sans Serif"/>
      <charset val="0"/>
    </font>
    <font>
      <b/>
      <sz val="11"/>
      <color theme="1"/>
      <name val="Calibri"/>
      <charset val="134"/>
      <scheme val="minor"/>
    </font>
    <font>
      <sz val="10"/>
      <color rgb="FF000000"/>
      <name val="MS Sans Serif"/>
      <charset val="0"/>
    </font>
    <font>
      <sz val="10.5"/>
      <color rgb="FF00000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MS Sans Serif"/>
      <charset val="0"/>
    </font>
  </fonts>
  <fills count="35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5" applyNumberFormat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left" vertical="center"/>
    </xf>
    <xf numFmtId="0" fontId="2" fillId="2" borderId="1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Border="1" applyAlignment="1" applyProtection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horizontal="left" vertical="center"/>
    </xf>
    <xf numFmtId="0" fontId="0" fillId="0" borderId="1" xfId="0" applyFont="1" applyFill="1" applyBorder="1" applyAlignment="1">
      <alignment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178" fontId="6" fillId="0" borderId="1" xfId="0" applyNumberFormat="1" applyFont="1" applyFill="1" applyBorder="1" applyAlignment="1" applyProtection="1">
      <alignment vertical="center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178" fontId="6" fillId="0" borderId="1" xfId="0" applyNumberFormat="1" applyFont="1" applyFill="1" applyBorder="1" applyAlignment="1" applyProtection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NumberFormat="1" applyFont="1" applyFill="1" applyBorder="1" applyAlignment="1" applyProtection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10" fillId="0" borderId="1" xfId="0" applyNumberFormat="1" applyFont="1" applyFill="1" applyBorder="1" applyAlignment="1" applyProtection="1">
      <alignment horizontal="left" vertical="center"/>
    </xf>
    <xf numFmtId="178" fontId="11" fillId="0" borderId="1" xfId="0" applyNumberFormat="1" applyFont="1" applyFill="1" applyBorder="1" applyAlignment="1" applyProtection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 applyProtection="1">
      <alignment vertical="center" wrapText="1"/>
    </xf>
    <xf numFmtId="0" fontId="2" fillId="2" borderId="1" xfId="0" applyNumberFormat="1" applyFont="1" applyFill="1" applyBorder="1" applyAlignment="1" applyProtection="1">
      <alignment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>
      <alignment wrapText="1"/>
    </xf>
    <xf numFmtId="0" fontId="1" fillId="2" borderId="0" xfId="0" applyNumberFormat="1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178" fontId="13" fillId="0" borderId="1" xfId="0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left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2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/>
    <xf numFmtId="0" fontId="6" fillId="0" borderId="1" xfId="0" applyNumberFormat="1" applyFont="1" applyFill="1" applyBorder="1" applyAlignment="1" applyProtection="1">
      <alignment wrapText="1"/>
    </xf>
    <xf numFmtId="0" fontId="13" fillId="0" borderId="1" xfId="0" applyNumberFormat="1" applyFont="1" applyFill="1" applyBorder="1" applyAlignment="1" applyProtection="1">
      <alignment horizontal="center"/>
    </xf>
    <xf numFmtId="0" fontId="14" fillId="0" borderId="1" xfId="0" applyFont="1" applyBorder="1" applyAlignment="1">
      <alignment horizontal="center" vertical="center"/>
    </xf>
    <xf numFmtId="0" fontId="15" fillId="0" borderId="1" xfId="0" applyNumberFormat="1" applyFont="1" applyFill="1" applyBorder="1" applyAlignment="1" applyProtection="1">
      <alignment wrapText="1"/>
    </xf>
    <xf numFmtId="0" fontId="16" fillId="0" borderId="0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opLeftCell="A36" workbookViewId="0">
      <selection activeCell="J10" sqref="J10"/>
    </sheetView>
  </sheetViews>
  <sheetFormatPr defaultColWidth="9.14285714285714" defaultRowHeight="15" outlineLevelCol="4"/>
  <cols>
    <col min="1" max="1" width="9.14285714285714" style="23"/>
    <col min="2" max="2" width="28.8571428571429" style="23" customWidth="1"/>
    <col min="3" max="3" width="81.5714285714286" style="24" customWidth="1"/>
    <col min="4" max="4" width="6.14285714285714" style="23" customWidth="1"/>
    <col min="5" max="5" width="5.57142857142857" style="23" customWidth="1"/>
  </cols>
  <sheetData>
    <row r="1" ht="15.75" spans="1:5">
      <c r="A1" s="25" t="s">
        <v>0</v>
      </c>
      <c r="B1" s="26" t="s">
        <v>1</v>
      </c>
      <c r="C1" s="21" t="s">
        <v>2</v>
      </c>
      <c r="D1" s="27" t="s">
        <v>3</v>
      </c>
      <c r="E1" s="26" t="s">
        <v>4</v>
      </c>
    </row>
    <row r="2" ht="30" spans="1:5">
      <c r="A2" s="28">
        <v>1</v>
      </c>
      <c r="B2" s="5" t="s">
        <v>5</v>
      </c>
      <c r="C2" s="6" t="s">
        <v>6</v>
      </c>
      <c r="D2" s="7">
        <v>300</v>
      </c>
      <c r="E2" s="8">
        <f t="shared" ref="E2:E19" si="0">D2*0.715</f>
        <v>214.5</v>
      </c>
    </row>
    <row r="3" spans="1:5">
      <c r="A3" s="28">
        <v>2</v>
      </c>
      <c r="B3" s="5" t="s">
        <v>7</v>
      </c>
      <c r="C3" s="6" t="s">
        <v>8</v>
      </c>
      <c r="D3" s="7">
        <v>180</v>
      </c>
      <c r="E3" s="8">
        <f t="shared" si="0"/>
        <v>128.7</v>
      </c>
    </row>
    <row r="4" spans="1:5">
      <c r="A4" s="28">
        <v>3</v>
      </c>
      <c r="B4" s="5" t="s">
        <v>9</v>
      </c>
      <c r="C4" s="6" t="s">
        <v>10</v>
      </c>
      <c r="D4" s="7">
        <v>130</v>
      </c>
      <c r="E4" s="8">
        <f t="shared" si="0"/>
        <v>92.95</v>
      </c>
    </row>
    <row r="5" spans="1:5">
      <c r="A5" s="28">
        <v>4</v>
      </c>
      <c r="B5" s="5" t="s">
        <v>11</v>
      </c>
      <c r="C5" s="6" t="s">
        <v>12</v>
      </c>
      <c r="D5" s="7">
        <v>110</v>
      </c>
      <c r="E5" s="8">
        <f t="shared" si="0"/>
        <v>78.65</v>
      </c>
    </row>
    <row r="6" spans="1:5">
      <c r="A6" s="28">
        <v>5</v>
      </c>
      <c r="B6" s="5" t="s">
        <v>13</v>
      </c>
      <c r="C6" s="6" t="s">
        <v>14</v>
      </c>
      <c r="D6" s="7">
        <v>180</v>
      </c>
      <c r="E6" s="8">
        <f t="shared" si="0"/>
        <v>128.7</v>
      </c>
    </row>
    <row r="7" spans="1:5">
      <c r="A7" s="28">
        <v>6</v>
      </c>
      <c r="B7" s="5" t="s">
        <v>15</v>
      </c>
      <c r="C7" s="6" t="s">
        <v>16</v>
      </c>
      <c r="D7" s="7">
        <v>300</v>
      </c>
      <c r="E7" s="8">
        <f t="shared" si="0"/>
        <v>214.5</v>
      </c>
    </row>
    <row r="8" spans="1:5">
      <c r="A8" s="28">
        <v>7</v>
      </c>
      <c r="B8" s="5" t="s">
        <v>17</v>
      </c>
      <c r="C8" s="6" t="s">
        <v>18</v>
      </c>
      <c r="D8" s="7">
        <v>90</v>
      </c>
      <c r="E8" s="8">
        <f t="shared" si="0"/>
        <v>64.35</v>
      </c>
    </row>
    <row r="9" spans="1:5">
      <c r="A9" s="28">
        <v>8</v>
      </c>
      <c r="B9" s="5" t="s">
        <v>19</v>
      </c>
      <c r="C9" s="12" t="s">
        <v>20</v>
      </c>
      <c r="D9" s="7">
        <v>350</v>
      </c>
      <c r="E9" s="8">
        <f t="shared" si="0"/>
        <v>250.25</v>
      </c>
    </row>
    <row r="10" spans="1:5">
      <c r="A10" s="28">
        <v>9</v>
      </c>
      <c r="B10" s="5" t="s">
        <v>21</v>
      </c>
      <c r="C10" s="6" t="s">
        <v>22</v>
      </c>
      <c r="D10" s="7">
        <v>120</v>
      </c>
      <c r="E10" s="8">
        <f t="shared" si="0"/>
        <v>85.8</v>
      </c>
    </row>
    <row r="11" spans="1:5">
      <c r="A11" s="28">
        <v>10</v>
      </c>
      <c r="B11" s="5" t="s">
        <v>23</v>
      </c>
      <c r="C11" s="6" t="s">
        <v>24</v>
      </c>
      <c r="D11" s="7">
        <v>200</v>
      </c>
      <c r="E11" s="8">
        <f t="shared" si="0"/>
        <v>143</v>
      </c>
    </row>
    <row r="12" spans="1:5">
      <c r="A12" s="28">
        <v>11</v>
      </c>
      <c r="B12" s="5" t="s">
        <v>25</v>
      </c>
      <c r="C12" s="6" t="s">
        <v>26</v>
      </c>
      <c r="D12" s="7">
        <v>90</v>
      </c>
      <c r="E12" s="8">
        <f t="shared" si="0"/>
        <v>64.35</v>
      </c>
    </row>
    <row r="13" spans="1:5">
      <c r="A13" s="28">
        <v>12</v>
      </c>
      <c r="B13" s="5" t="s">
        <v>27</v>
      </c>
      <c r="C13" s="6" t="s">
        <v>28</v>
      </c>
      <c r="D13" s="7">
        <v>90</v>
      </c>
      <c r="E13" s="8">
        <f t="shared" si="0"/>
        <v>64.35</v>
      </c>
    </row>
    <row r="14" spans="1:5">
      <c r="A14" s="28">
        <v>13</v>
      </c>
      <c r="B14" s="5" t="s">
        <v>29</v>
      </c>
      <c r="C14" s="6" t="s">
        <v>30</v>
      </c>
      <c r="D14" s="7">
        <v>120</v>
      </c>
      <c r="E14" s="8">
        <f t="shared" si="0"/>
        <v>85.8</v>
      </c>
    </row>
    <row r="15" spans="1:5">
      <c r="A15" s="28">
        <v>14</v>
      </c>
      <c r="B15" s="5" t="s">
        <v>31</v>
      </c>
      <c r="C15" s="6" t="s">
        <v>32</v>
      </c>
      <c r="D15" s="7">
        <v>140</v>
      </c>
      <c r="E15" s="8">
        <f t="shared" si="0"/>
        <v>100.1</v>
      </c>
    </row>
    <row r="16" spans="1:5">
      <c r="A16" s="28">
        <v>15</v>
      </c>
      <c r="B16" s="5" t="s">
        <v>33</v>
      </c>
      <c r="C16" s="6" t="s">
        <v>34</v>
      </c>
      <c r="D16" s="7">
        <v>38</v>
      </c>
      <c r="E16" s="8">
        <f t="shared" si="0"/>
        <v>27.17</v>
      </c>
    </row>
    <row r="17" spans="1:5">
      <c r="A17" s="28">
        <v>16</v>
      </c>
      <c r="B17" s="5" t="s">
        <v>35</v>
      </c>
      <c r="C17" s="6" t="s">
        <v>36</v>
      </c>
      <c r="D17" s="7">
        <v>70</v>
      </c>
      <c r="E17" s="8">
        <f t="shared" si="0"/>
        <v>50.05</v>
      </c>
    </row>
    <row r="18" spans="1:5">
      <c r="A18" s="28">
        <v>17</v>
      </c>
      <c r="B18" s="30" t="s">
        <v>37</v>
      </c>
      <c r="C18" s="6" t="s">
        <v>38</v>
      </c>
      <c r="D18" s="31">
        <v>55</v>
      </c>
      <c r="E18" s="8">
        <f t="shared" si="0"/>
        <v>39.325</v>
      </c>
    </row>
    <row r="19" ht="30" spans="1:5">
      <c r="A19" s="28">
        <v>18</v>
      </c>
      <c r="B19" s="5" t="s">
        <v>39</v>
      </c>
      <c r="C19" s="6" t="s">
        <v>40</v>
      </c>
      <c r="D19" s="7">
        <v>600</v>
      </c>
      <c r="E19" s="8">
        <f t="shared" si="0"/>
        <v>429</v>
      </c>
    </row>
    <row r="20" ht="30" spans="1:5">
      <c r="A20" s="28">
        <v>19</v>
      </c>
      <c r="B20" s="5" t="s">
        <v>41</v>
      </c>
      <c r="C20" s="6" t="s">
        <v>42</v>
      </c>
      <c r="D20" s="7">
        <v>220</v>
      </c>
      <c r="E20" s="8">
        <f t="shared" ref="E20:E54" si="1">D20*0.715</f>
        <v>157.3</v>
      </c>
    </row>
    <row r="21" spans="1:5">
      <c r="A21" s="28">
        <v>20</v>
      </c>
      <c r="B21" s="5" t="s">
        <v>43</v>
      </c>
      <c r="C21" s="6" t="s">
        <v>44</v>
      </c>
      <c r="D21" s="7">
        <v>250</v>
      </c>
      <c r="E21" s="8">
        <f t="shared" si="1"/>
        <v>178.75</v>
      </c>
    </row>
    <row r="22" ht="30" spans="1:5">
      <c r="A22" s="28">
        <v>21</v>
      </c>
      <c r="B22" s="5" t="s">
        <v>45</v>
      </c>
      <c r="C22" s="6" t="s">
        <v>46</v>
      </c>
      <c r="D22" s="7">
        <v>250</v>
      </c>
      <c r="E22" s="8">
        <f t="shared" si="1"/>
        <v>178.75</v>
      </c>
    </row>
    <row r="23" ht="30" spans="1:5">
      <c r="A23" s="28">
        <v>22</v>
      </c>
      <c r="B23" s="5" t="s">
        <v>47</v>
      </c>
      <c r="C23" s="6" t="s">
        <v>48</v>
      </c>
      <c r="D23" s="7">
        <v>450</v>
      </c>
      <c r="E23" s="8">
        <f t="shared" si="1"/>
        <v>321.75</v>
      </c>
    </row>
    <row r="24" ht="30" spans="1:5">
      <c r="A24" s="28">
        <v>23</v>
      </c>
      <c r="B24" s="5" t="s">
        <v>49</v>
      </c>
      <c r="C24" s="6" t="s">
        <v>50</v>
      </c>
      <c r="D24" s="7">
        <v>350</v>
      </c>
      <c r="E24" s="8">
        <f t="shared" si="1"/>
        <v>250.25</v>
      </c>
    </row>
    <row r="25" spans="1:5">
      <c r="A25" s="28">
        <v>24</v>
      </c>
      <c r="B25" s="5" t="s">
        <v>51</v>
      </c>
      <c r="C25" s="6" t="s">
        <v>52</v>
      </c>
      <c r="D25" s="7">
        <v>100</v>
      </c>
      <c r="E25" s="8">
        <f t="shared" si="1"/>
        <v>71.5</v>
      </c>
    </row>
    <row r="26" spans="1:5">
      <c r="A26" s="28">
        <v>25</v>
      </c>
      <c r="B26" s="5" t="s">
        <v>53</v>
      </c>
      <c r="C26" s="6" t="s">
        <v>54</v>
      </c>
      <c r="D26" s="7">
        <v>120</v>
      </c>
      <c r="E26" s="8">
        <f t="shared" si="1"/>
        <v>85.8</v>
      </c>
    </row>
    <row r="27" spans="1:5">
      <c r="A27" s="28">
        <v>26</v>
      </c>
      <c r="B27" s="5" t="s">
        <v>55</v>
      </c>
      <c r="C27" s="6" t="s">
        <v>56</v>
      </c>
      <c r="D27" s="7">
        <v>280</v>
      </c>
      <c r="E27" s="8">
        <f t="shared" si="1"/>
        <v>200.2</v>
      </c>
    </row>
    <row r="28" spans="1:5">
      <c r="A28" s="28">
        <v>27</v>
      </c>
      <c r="B28" s="30" t="s">
        <v>57</v>
      </c>
      <c r="C28" s="6" t="s">
        <v>58</v>
      </c>
      <c r="D28" s="31">
        <v>120</v>
      </c>
      <c r="E28" s="8">
        <f t="shared" si="1"/>
        <v>85.8</v>
      </c>
    </row>
    <row r="29" spans="1:5">
      <c r="A29" s="28">
        <v>28</v>
      </c>
      <c r="B29" s="5" t="s">
        <v>59</v>
      </c>
      <c r="C29" s="6" t="s">
        <v>60</v>
      </c>
      <c r="D29" s="7">
        <v>42</v>
      </c>
      <c r="E29" s="8">
        <f t="shared" si="1"/>
        <v>30.03</v>
      </c>
    </row>
    <row r="30" spans="1:5">
      <c r="A30" s="28">
        <v>29</v>
      </c>
      <c r="B30" s="5" t="s">
        <v>61</v>
      </c>
      <c r="C30" s="6" t="s">
        <v>62</v>
      </c>
      <c r="D30" s="32">
        <v>38.3</v>
      </c>
      <c r="E30" s="8">
        <f t="shared" si="1"/>
        <v>27.3845</v>
      </c>
    </row>
    <row r="31" spans="1:5">
      <c r="A31" s="28">
        <v>30</v>
      </c>
      <c r="B31" s="5" t="s">
        <v>63</v>
      </c>
      <c r="C31" s="6" t="s">
        <v>64</v>
      </c>
      <c r="D31" s="7">
        <v>80</v>
      </c>
      <c r="E31" s="8">
        <f t="shared" si="1"/>
        <v>57.2</v>
      </c>
    </row>
    <row r="32" spans="1:5">
      <c r="A32" s="28">
        <v>31</v>
      </c>
      <c r="B32" s="5" t="s">
        <v>65</v>
      </c>
      <c r="C32" s="6" t="s">
        <v>66</v>
      </c>
      <c r="D32" s="7">
        <v>99</v>
      </c>
      <c r="E32" s="8">
        <f t="shared" si="1"/>
        <v>70.785</v>
      </c>
    </row>
    <row r="33" spans="1:5">
      <c r="A33" s="28">
        <v>32</v>
      </c>
      <c r="B33" s="5" t="s">
        <v>67</v>
      </c>
      <c r="C33" s="6" t="s">
        <v>66</v>
      </c>
      <c r="D33" s="7">
        <v>150</v>
      </c>
      <c r="E33" s="8">
        <f t="shared" si="1"/>
        <v>107.25</v>
      </c>
    </row>
    <row r="34" spans="1:5">
      <c r="A34" s="28">
        <v>33</v>
      </c>
      <c r="B34" s="5" t="s">
        <v>68</v>
      </c>
      <c r="C34" s="6" t="s">
        <v>69</v>
      </c>
      <c r="D34" s="7">
        <v>240</v>
      </c>
      <c r="E34" s="8">
        <f t="shared" si="1"/>
        <v>171.6</v>
      </c>
    </row>
    <row r="35" spans="1:5">
      <c r="A35" s="28">
        <v>34</v>
      </c>
      <c r="B35" s="5" t="s">
        <v>70</v>
      </c>
      <c r="C35" s="6" t="s">
        <v>71</v>
      </c>
      <c r="D35" s="7">
        <v>170</v>
      </c>
      <c r="E35" s="8">
        <f t="shared" si="1"/>
        <v>121.55</v>
      </c>
    </row>
    <row r="36" spans="1:5">
      <c r="A36" s="28">
        <v>35</v>
      </c>
      <c r="B36" s="5" t="s">
        <v>72</v>
      </c>
      <c r="C36" s="6" t="s">
        <v>73</v>
      </c>
      <c r="D36" s="7">
        <v>150</v>
      </c>
      <c r="E36" s="8">
        <f t="shared" si="1"/>
        <v>107.25</v>
      </c>
    </row>
    <row r="37" spans="1:5">
      <c r="A37" s="28">
        <v>36</v>
      </c>
      <c r="B37" s="5" t="s">
        <v>74</v>
      </c>
      <c r="C37" s="6" t="s">
        <v>75</v>
      </c>
      <c r="D37" s="7">
        <v>190</v>
      </c>
      <c r="E37" s="8">
        <f t="shared" si="1"/>
        <v>135.85</v>
      </c>
    </row>
    <row r="38" spans="1:5">
      <c r="A38" s="28">
        <v>37</v>
      </c>
      <c r="B38" s="5" t="s">
        <v>76</v>
      </c>
      <c r="C38" s="6" t="s">
        <v>77</v>
      </c>
      <c r="D38" s="7">
        <v>250</v>
      </c>
      <c r="E38" s="8">
        <f t="shared" si="1"/>
        <v>178.75</v>
      </c>
    </row>
    <row r="39" spans="1:5">
      <c r="A39" s="28">
        <v>38</v>
      </c>
      <c r="B39" s="5" t="s">
        <v>78</v>
      </c>
      <c r="C39" s="6" t="s">
        <v>79</v>
      </c>
      <c r="D39" s="7">
        <v>160</v>
      </c>
      <c r="E39" s="8">
        <f t="shared" si="1"/>
        <v>114.4</v>
      </c>
    </row>
    <row r="40" spans="1:5">
      <c r="A40" s="28">
        <v>39</v>
      </c>
      <c r="B40" s="5" t="s">
        <v>80</v>
      </c>
      <c r="C40" s="6" t="s">
        <v>81</v>
      </c>
      <c r="D40" s="7">
        <v>100</v>
      </c>
      <c r="E40" s="8">
        <f t="shared" si="1"/>
        <v>71.5</v>
      </c>
    </row>
    <row r="41" spans="1:5">
      <c r="A41" s="28">
        <v>40</v>
      </c>
      <c r="B41" s="5" t="s">
        <v>82</v>
      </c>
      <c r="C41" s="6" t="s">
        <v>83</v>
      </c>
      <c r="D41" s="7">
        <v>90</v>
      </c>
      <c r="E41" s="8">
        <f t="shared" si="1"/>
        <v>64.35</v>
      </c>
    </row>
    <row r="42" spans="1:5">
      <c r="A42" s="28">
        <v>41</v>
      </c>
      <c r="B42" s="5" t="s">
        <v>84</v>
      </c>
      <c r="C42" s="6" t="s">
        <v>83</v>
      </c>
      <c r="D42" s="7">
        <v>70</v>
      </c>
      <c r="E42" s="8">
        <f t="shared" si="1"/>
        <v>50.05</v>
      </c>
    </row>
    <row r="43" spans="1:5">
      <c r="A43" s="28">
        <v>42</v>
      </c>
      <c r="B43" s="5" t="s">
        <v>85</v>
      </c>
      <c r="C43" s="33" t="s">
        <v>86</v>
      </c>
      <c r="D43" s="7">
        <v>130</v>
      </c>
      <c r="E43" s="8">
        <f t="shared" si="1"/>
        <v>92.95</v>
      </c>
    </row>
    <row r="44" spans="1:5">
      <c r="A44" s="28">
        <v>43</v>
      </c>
      <c r="B44" s="5" t="s">
        <v>87</v>
      </c>
      <c r="C44" s="6" t="s">
        <v>88</v>
      </c>
      <c r="D44" s="7">
        <v>70</v>
      </c>
      <c r="E44" s="8">
        <f t="shared" si="1"/>
        <v>50.05</v>
      </c>
    </row>
    <row r="45" spans="1:5">
      <c r="A45" s="28">
        <v>44</v>
      </c>
      <c r="B45" s="5" t="s">
        <v>89</v>
      </c>
      <c r="C45" s="6" t="s">
        <v>90</v>
      </c>
      <c r="D45" s="7">
        <v>120</v>
      </c>
      <c r="E45" s="8">
        <f t="shared" si="1"/>
        <v>85.8</v>
      </c>
    </row>
    <row r="46" ht="40.5" spans="1:5">
      <c r="A46" s="28">
        <v>45</v>
      </c>
      <c r="B46" s="5" t="s">
        <v>91</v>
      </c>
      <c r="C46" s="39" t="s">
        <v>92</v>
      </c>
      <c r="D46" s="7">
        <v>250</v>
      </c>
      <c r="E46" s="8">
        <f t="shared" si="1"/>
        <v>178.75</v>
      </c>
    </row>
    <row r="47" spans="1:5">
      <c r="A47" s="28">
        <v>46</v>
      </c>
      <c r="B47" s="5" t="s">
        <v>93</v>
      </c>
      <c r="C47" s="6" t="s">
        <v>94</v>
      </c>
      <c r="D47" s="7">
        <v>70</v>
      </c>
      <c r="E47" s="8">
        <f t="shared" si="1"/>
        <v>50.05</v>
      </c>
    </row>
    <row r="48" spans="1:5">
      <c r="A48" s="28">
        <v>47</v>
      </c>
      <c r="B48" s="5" t="s">
        <v>95</v>
      </c>
      <c r="C48" s="6" t="s">
        <v>96</v>
      </c>
      <c r="D48" s="7">
        <v>90</v>
      </c>
      <c r="E48" s="8">
        <f t="shared" si="1"/>
        <v>64.35</v>
      </c>
    </row>
    <row r="49" spans="1:5">
      <c r="A49" s="28">
        <v>48</v>
      </c>
      <c r="B49" s="5" t="s">
        <v>97</v>
      </c>
      <c r="C49" s="6" t="s">
        <v>98</v>
      </c>
      <c r="D49" s="7">
        <v>85</v>
      </c>
      <c r="E49" s="8">
        <f t="shared" si="1"/>
        <v>60.775</v>
      </c>
    </row>
    <row r="50" spans="1:5">
      <c r="A50" s="28">
        <v>49</v>
      </c>
      <c r="B50" s="5" t="s">
        <v>99</v>
      </c>
      <c r="C50" s="6" t="s">
        <v>100</v>
      </c>
      <c r="D50" s="7">
        <v>90</v>
      </c>
      <c r="E50" s="8">
        <f t="shared" si="1"/>
        <v>64.35</v>
      </c>
    </row>
    <row r="51" spans="1:5">
      <c r="A51" s="28">
        <v>50</v>
      </c>
      <c r="B51" s="5" t="s">
        <v>101</v>
      </c>
      <c r="C51" s="6" t="s">
        <v>102</v>
      </c>
      <c r="D51" s="7">
        <v>90</v>
      </c>
      <c r="E51" s="8">
        <f t="shared" si="1"/>
        <v>64.35</v>
      </c>
    </row>
    <row r="52" spans="1:5">
      <c r="A52" s="28">
        <v>51</v>
      </c>
      <c r="B52" s="5" t="s">
        <v>103</v>
      </c>
      <c r="C52" s="6" t="s">
        <v>104</v>
      </c>
      <c r="D52" s="7">
        <v>100</v>
      </c>
      <c r="E52" s="8">
        <f t="shared" si="1"/>
        <v>71.5</v>
      </c>
    </row>
    <row r="53" spans="1:5">
      <c r="A53" s="28">
        <v>52</v>
      </c>
      <c r="B53" s="5" t="s">
        <v>105</v>
      </c>
      <c r="C53" s="6" t="s">
        <v>106</v>
      </c>
      <c r="D53" s="7">
        <v>110</v>
      </c>
      <c r="E53" s="8">
        <f t="shared" si="1"/>
        <v>78.65</v>
      </c>
    </row>
    <row r="54" spans="1:5">
      <c r="A54" s="28">
        <v>53</v>
      </c>
      <c r="B54" s="5" t="s">
        <v>107</v>
      </c>
      <c r="C54" s="6" t="s">
        <v>108</v>
      </c>
      <c r="D54" s="7">
        <v>100</v>
      </c>
      <c r="E54" s="8">
        <f t="shared" si="1"/>
        <v>71.5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M20" sqref="M20"/>
    </sheetView>
  </sheetViews>
  <sheetFormatPr defaultColWidth="9.14285714285714" defaultRowHeight="15" outlineLevelCol="4"/>
  <cols>
    <col min="1" max="1" width="9.14285714285714" style="23"/>
    <col min="2" max="2" width="28.8571428571429" style="23" customWidth="1"/>
    <col min="3" max="3" width="81.5714285714286" style="24" customWidth="1"/>
    <col min="4" max="4" width="6.14285714285714" style="23" customWidth="1"/>
    <col min="5" max="5" width="5.57142857142857" style="23" customWidth="1"/>
  </cols>
  <sheetData>
    <row r="1" ht="15.75" spans="1:5">
      <c r="A1" s="25" t="s">
        <v>0</v>
      </c>
      <c r="B1" s="26" t="s">
        <v>1</v>
      </c>
      <c r="C1" s="21" t="s">
        <v>2</v>
      </c>
      <c r="D1" s="27" t="s">
        <v>3</v>
      </c>
      <c r="E1" s="26" t="s">
        <v>4</v>
      </c>
    </row>
    <row r="2" spans="1:5">
      <c r="A2" s="28">
        <v>1</v>
      </c>
      <c r="B2" s="5" t="s">
        <v>7</v>
      </c>
      <c r="C2" s="6" t="s">
        <v>8</v>
      </c>
      <c r="D2" s="7">
        <v>198</v>
      </c>
      <c r="E2" s="29">
        <f>D2*0.715</f>
        <v>141.57</v>
      </c>
    </row>
    <row r="3" spans="1:5">
      <c r="A3" s="28">
        <v>2</v>
      </c>
      <c r="B3" s="5" t="s">
        <v>9</v>
      </c>
      <c r="C3" s="6" t="s">
        <v>10</v>
      </c>
      <c r="D3" s="7">
        <v>140</v>
      </c>
      <c r="E3" s="29">
        <v>100</v>
      </c>
    </row>
    <row r="4" spans="1:5">
      <c r="A4" s="28">
        <v>3</v>
      </c>
      <c r="B4" s="5" t="s">
        <v>9</v>
      </c>
      <c r="C4" s="6" t="s">
        <v>109</v>
      </c>
      <c r="D4" s="7">
        <v>90</v>
      </c>
      <c r="E4" s="29">
        <v>64.3</v>
      </c>
    </row>
    <row r="5" spans="1:5">
      <c r="A5" s="28">
        <v>4</v>
      </c>
      <c r="B5" s="5" t="s">
        <v>11</v>
      </c>
      <c r="C5" s="6" t="s">
        <v>12</v>
      </c>
      <c r="D5" s="7">
        <v>110</v>
      </c>
      <c r="E5" s="29">
        <f t="shared" ref="E5:E26" si="0">D5*0.715</f>
        <v>78.65</v>
      </c>
    </row>
    <row r="6" spans="1:5">
      <c r="A6" s="28">
        <v>5</v>
      </c>
      <c r="B6" s="5" t="s">
        <v>13</v>
      </c>
      <c r="C6" s="6" t="s">
        <v>14</v>
      </c>
      <c r="D6" s="7">
        <v>198</v>
      </c>
      <c r="E6" s="29">
        <f t="shared" si="0"/>
        <v>141.57</v>
      </c>
    </row>
    <row r="7" spans="1:5">
      <c r="A7" s="28">
        <v>6</v>
      </c>
      <c r="B7" s="5" t="s">
        <v>17</v>
      </c>
      <c r="C7" s="6" t="s">
        <v>18</v>
      </c>
      <c r="D7" s="7">
        <v>90</v>
      </c>
      <c r="E7" s="29">
        <f t="shared" si="0"/>
        <v>64.35</v>
      </c>
    </row>
    <row r="8" spans="1:5">
      <c r="A8" s="28">
        <v>7</v>
      </c>
      <c r="B8" s="5" t="s">
        <v>19</v>
      </c>
      <c r="C8" s="12" t="s">
        <v>110</v>
      </c>
      <c r="D8" s="7">
        <v>350</v>
      </c>
      <c r="E8" s="29">
        <f t="shared" si="0"/>
        <v>250.25</v>
      </c>
    </row>
    <row r="9" spans="1:5">
      <c r="A9" s="28">
        <v>8</v>
      </c>
      <c r="B9" s="5" t="s">
        <v>21</v>
      </c>
      <c r="C9" s="6" t="s">
        <v>22</v>
      </c>
      <c r="D9" s="7">
        <v>120</v>
      </c>
      <c r="E9" s="29">
        <f t="shared" si="0"/>
        <v>85.8</v>
      </c>
    </row>
    <row r="10" spans="1:5">
      <c r="A10" s="28">
        <v>9</v>
      </c>
      <c r="B10" s="5" t="s">
        <v>25</v>
      </c>
      <c r="C10" s="6" t="s">
        <v>26</v>
      </c>
      <c r="D10" s="7">
        <v>90</v>
      </c>
      <c r="E10" s="29">
        <f t="shared" si="0"/>
        <v>64.35</v>
      </c>
    </row>
    <row r="11" spans="1:5">
      <c r="A11" s="28">
        <v>10</v>
      </c>
      <c r="B11" s="5" t="s">
        <v>33</v>
      </c>
      <c r="C11" s="6" t="s">
        <v>34</v>
      </c>
      <c r="D11" s="7">
        <v>38</v>
      </c>
      <c r="E11" s="29">
        <f t="shared" si="0"/>
        <v>27.17</v>
      </c>
    </row>
    <row r="12" spans="1:5">
      <c r="A12" s="28">
        <v>11</v>
      </c>
      <c r="B12" s="5" t="s">
        <v>35</v>
      </c>
      <c r="C12" s="6" t="s">
        <v>36</v>
      </c>
      <c r="D12" s="7">
        <v>70</v>
      </c>
      <c r="E12" s="29">
        <f t="shared" si="0"/>
        <v>50.05</v>
      </c>
    </row>
    <row r="13" spans="1:5">
      <c r="A13" s="28">
        <v>12</v>
      </c>
      <c r="B13" s="30" t="s">
        <v>37</v>
      </c>
      <c r="C13" s="6" t="s">
        <v>38</v>
      </c>
      <c r="D13" s="31">
        <v>55</v>
      </c>
      <c r="E13" s="29">
        <f t="shared" si="0"/>
        <v>39.325</v>
      </c>
    </row>
    <row r="14" spans="1:5">
      <c r="A14" s="28">
        <v>13</v>
      </c>
      <c r="B14" s="5" t="s">
        <v>51</v>
      </c>
      <c r="C14" s="6" t="s">
        <v>52</v>
      </c>
      <c r="D14" s="7">
        <v>100</v>
      </c>
      <c r="E14" s="29">
        <f t="shared" si="0"/>
        <v>71.5</v>
      </c>
    </row>
    <row r="15" spans="1:5">
      <c r="A15" s="28">
        <v>14</v>
      </c>
      <c r="B15" s="5" t="s">
        <v>53</v>
      </c>
      <c r="C15" s="6" t="s">
        <v>54</v>
      </c>
      <c r="D15" s="7">
        <v>160</v>
      </c>
      <c r="E15" s="29">
        <f t="shared" si="0"/>
        <v>114.4</v>
      </c>
    </row>
    <row r="16" spans="1:5">
      <c r="A16" s="28">
        <v>15</v>
      </c>
      <c r="B16" s="30" t="s">
        <v>57</v>
      </c>
      <c r="C16" s="6" t="s">
        <v>58</v>
      </c>
      <c r="D16" s="31">
        <v>120</v>
      </c>
      <c r="E16" s="29">
        <f t="shared" si="0"/>
        <v>85.8</v>
      </c>
    </row>
    <row r="17" spans="1:5">
      <c r="A17" s="28">
        <v>16</v>
      </c>
      <c r="B17" s="5" t="s">
        <v>59</v>
      </c>
      <c r="C17" s="6" t="s">
        <v>60</v>
      </c>
      <c r="D17" s="7">
        <v>42</v>
      </c>
      <c r="E17" s="29">
        <f t="shared" si="0"/>
        <v>30.03</v>
      </c>
    </row>
    <row r="18" spans="1:5">
      <c r="A18" s="28">
        <v>17</v>
      </c>
      <c r="B18" s="5" t="s">
        <v>61</v>
      </c>
      <c r="C18" s="6" t="s">
        <v>62</v>
      </c>
      <c r="D18" s="32">
        <v>38.3</v>
      </c>
      <c r="E18" s="29">
        <f t="shared" si="0"/>
        <v>27.3845</v>
      </c>
    </row>
    <row r="19" spans="1:5">
      <c r="A19" s="28">
        <v>18</v>
      </c>
      <c r="B19" s="5" t="s">
        <v>72</v>
      </c>
      <c r="C19" s="6" t="s">
        <v>73</v>
      </c>
      <c r="D19" s="7">
        <v>150</v>
      </c>
      <c r="E19" s="29">
        <f t="shared" si="0"/>
        <v>107.25</v>
      </c>
    </row>
    <row r="20" spans="1:5">
      <c r="A20" s="28">
        <v>19</v>
      </c>
      <c r="B20" s="5" t="s">
        <v>74</v>
      </c>
      <c r="C20" s="6" t="s">
        <v>75</v>
      </c>
      <c r="D20" s="7">
        <v>190</v>
      </c>
      <c r="E20" s="29">
        <f t="shared" si="0"/>
        <v>135.85</v>
      </c>
    </row>
    <row r="21" spans="1:5">
      <c r="A21" s="28">
        <v>20</v>
      </c>
      <c r="B21" s="5" t="s">
        <v>80</v>
      </c>
      <c r="C21" s="6" t="s">
        <v>81</v>
      </c>
      <c r="D21" s="7">
        <v>100</v>
      </c>
      <c r="E21" s="29">
        <f t="shared" si="0"/>
        <v>71.5</v>
      </c>
    </row>
    <row r="22" spans="1:5">
      <c r="A22" s="28">
        <v>21</v>
      </c>
      <c r="B22" s="5" t="s">
        <v>82</v>
      </c>
      <c r="C22" s="6" t="s">
        <v>83</v>
      </c>
      <c r="D22" s="7">
        <v>90</v>
      </c>
      <c r="E22" s="29">
        <f t="shared" si="0"/>
        <v>64.35</v>
      </c>
    </row>
    <row r="23" spans="1:5">
      <c r="A23" s="28">
        <v>22</v>
      </c>
      <c r="B23" s="5" t="s">
        <v>84</v>
      </c>
      <c r="C23" s="6" t="s">
        <v>83</v>
      </c>
      <c r="D23" s="7">
        <v>70</v>
      </c>
      <c r="E23" s="29">
        <f t="shared" si="0"/>
        <v>50.05</v>
      </c>
    </row>
    <row r="24" spans="1:5">
      <c r="A24" s="28">
        <v>23</v>
      </c>
      <c r="B24" s="5" t="s">
        <v>85</v>
      </c>
      <c r="C24" s="33" t="s">
        <v>86</v>
      </c>
      <c r="D24" s="7">
        <v>130</v>
      </c>
      <c r="E24" s="29">
        <f t="shared" si="0"/>
        <v>92.95</v>
      </c>
    </row>
    <row r="25" spans="1:5">
      <c r="A25" s="28">
        <v>24</v>
      </c>
      <c r="B25" s="5" t="s">
        <v>87</v>
      </c>
      <c r="C25" s="6" t="s">
        <v>88</v>
      </c>
      <c r="D25" s="7">
        <v>70</v>
      </c>
      <c r="E25" s="29">
        <f t="shared" si="0"/>
        <v>50.05</v>
      </c>
    </row>
    <row r="26" spans="1:5">
      <c r="A26" s="28">
        <v>25</v>
      </c>
      <c r="B26" s="5" t="s">
        <v>89</v>
      </c>
      <c r="C26" s="6" t="s">
        <v>90</v>
      </c>
      <c r="D26" s="7">
        <v>120</v>
      </c>
      <c r="E26" s="29">
        <f t="shared" si="0"/>
        <v>85.8</v>
      </c>
    </row>
    <row r="27" spans="1:5">
      <c r="A27" s="28">
        <v>26</v>
      </c>
      <c r="B27" s="5" t="s">
        <v>111</v>
      </c>
      <c r="C27" s="6" t="s">
        <v>94</v>
      </c>
      <c r="D27" s="7">
        <v>70</v>
      </c>
      <c r="E27" s="29">
        <f t="shared" ref="E27:E34" si="1">D27*0.715</f>
        <v>50.05</v>
      </c>
    </row>
    <row r="28" spans="1:5">
      <c r="A28" s="28">
        <v>27</v>
      </c>
      <c r="B28" s="5" t="s">
        <v>112</v>
      </c>
      <c r="C28" s="6" t="s">
        <v>96</v>
      </c>
      <c r="D28" s="7">
        <v>90</v>
      </c>
      <c r="E28" s="29">
        <f t="shared" si="1"/>
        <v>64.35</v>
      </c>
    </row>
    <row r="29" spans="1:5">
      <c r="A29" s="28">
        <v>28</v>
      </c>
      <c r="B29" s="5" t="s">
        <v>113</v>
      </c>
      <c r="C29" s="6" t="s">
        <v>98</v>
      </c>
      <c r="D29" s="7">
        <v>85</v>
      </c>
      <c r="E29" s="29">
        <f t="shared" si="1"/>
        <v>60.775</v>
      </c>
    </row>
    <row r="30" spans="1:5">
      <c r="A30" s="28">
        <v>29</v>
      </c>
      <c r="B30" s="5" t="s">
        <v>114</v>
      </c>
      <c r="C30" s="6" t="s">
        <v>100</v>
      </c>
      <c r="D30" s="7">
        <v>90</v>
      </c>
      <c r="E30" s="29">
        <f t="shared" si="1"/>
        <v>64.35</v>
      </c>
    </row>
    <row r="31" spans="1:5">
      <c r="A31" s="28">
        <v>30</v>
      </c>
      <c r="B31" s="5" t="s">
        <v>101</v>
      </c>
      <c r="C31" s="6" t="s">
        <v>102</v>
      </c>
      <c r="D31" s="7">
        <v>90</v>
      </c>
      <c r="E31" s="29">
        <f t="shared" si="1"/>
        <v>64.35</v>
      </c>
    </row>
    <row r="32" spans="1:5">
      <c r="A32" s="28">
        <v>31</v>
      </c>
      <c r="B32" s="5" t="s">
        <v>103</v>
      </c>
      <c r="C32" s="6" t="s">
        <v>104</v>
      </c>
      <c r="D32" s="7">
        <v>100</v>
      </c>
      <c r="E32" s="29">
        <f t="shared" si="1"/>
        <v>71.5</v>
      </c>
    </row>
    <row r="33" spans="1:5">
      <c r="A33" s="28">
        <v>32</v>
      </c>
      <c r="B33" s="5" t="s">
        <v>105</v>
      </c>
      <c r="C33" s="6" t="s">
        <v>106</v>
      </c>
      <c r="D33" s="7">
        <v>110</v>
      </c>
      <c r="E33" s="29">
        <f t="shared" si="1"/>
        <v>78.65</v>
      </c>
    </row>
    <row r="34" spans="1:5">
      <c r="A34" s="28">
        <v>33</v>
      </c>
      <c r="B34" s="5" t="s">
        <v>107</v>
      </c>
      <c r="C34" s="6" t="s">
        <v>108</v>
      </c>
      <c r="D34" s="7">
        <v>100</v>
      </c>
      <c r="E34" s="29">
        <f t="shared" si="1"/>
        <v>71.5</v>
      </c>
    </row>
    <row r="35" spans="1:5">
      <c r="A35" s="28">
        <v>34</v>
      </c>
      <c r="B35" s="34" t="s">
        <v>115</v>
      </c>
      <c r="C35" s="35" t="s">
        <v>116</v>
      </c>
      <c r="D35" s="36">
        <v>180</v>
      </c>
      <c r="E35" s="36">
        <v>120.6</v>
      </c>
    </row>
    <row r="36" spans="1:5">
      <c r="A36" s="28">
        <v>35</v>
      </c>
      <c r="B36" s="34" t="s">
        <v>117</v>
      </c>
      <c r="C36" s="35" t="s">
        <v>118</v>
      </c>
      <c r="D36" s="36">
        <v>250</v>
      </c>
      <c r="E36" s="36">
        <v>16705</v>
      </c>
    </row>
    <row r="37" spans="1:5">
      <c r="A37" s="28">
        <v>36</v>
      </c>
      <c r="B37" s="34" t="s">
        <v>119</v>
      </c>
      <c r="C37" s="35" t="s">
        <v>120</v>
      </c>
      <c r="D37" s="37">
        <v>270</v>
      </c>
      <c r="E37" s="37">
        <v>180.9</v>
      </c>
    </row>
    <row r="38" spans="1:5">
      <c r="A38" s="28">
        <v>37</v>
      </c>
      <c r="B38" s="34" t="s">
        <v>121</v>
      </c>
      <c r="C38" s="35" t="s">
        <v>122</v>
      </c>
      <c r="D38" s="36">
        <v>250</v>
      </c>
      <c r="E38" s="36">
        <v>167.5</v>
      </c>
    </row>
    <row r="39" ht="25.5" spans="1:5">
      <c r="A39" s="28">
        <v>38</v>
      </c>
      <c r="B39" s="34" t="s">
        <v>123</v>
      </c>
      <c r="C39" s="38" t="s">
        <v>124</v>
      </c>
      <c r="D39" s="36">
        <v>220</v>
      </c>
      <c r="E39" s="36">
        <v>147.4</v>
      </c>
    </row>
    <row r="40" ht="38.25" spans="1:5">
      <c r="A40" s="28">
        <v>39</v>
      </c>
      <c r="B40" s="34" t="s">
        <v>125</v>
      </c>
      <c r="C40" s="38" t="s">
        <v>126</v>
      </c>
      <c r="D40" s="36">
        <v>100</v>
      </c>
      <c r="E40" s="36">
        <v>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16"/>
  <sheetViews>
    <sheetView workbookViewId="0">
      <selection activeCell="R13" sqref="R13"/>
    </sheetView>
  </sheetViews>
  <sheetFormatPr defaultColWidth="9.14285714285714" defaultRowHeight="15" outlineLevelCol="6"/>
  <cols>
    <col min="3" max="3" width="6.28571428571429" customWidth="1"/>
    <col min="4" max="4" width="18.8571428571429" customWidth="1"/>
    <col min="5" max="5" width="64.7142857142857" customWidth="1"/>
  </cols>
  <sheetData>
    <row r="2" ht="15.75" spans="3:7">
      <c r="C2" s="20" t="s">
        <v>0</v>
      </c>
      <c r="D2" s="21" t="s">
        <v>1</v>
      </c>
      <c r="E2" s="21" t="s">
        <v>2</v>
      </c>
      <c r="F2" s="22" t="s">
        <v>3</v>
      </c>
      <c r="G2" s="21" t="s">
        <v>4</v>
      </c>
    </row>
    <row r="3" ht="30" spans="3:7">
      <c r="C3" s="13">
        <v>1</v>
      </c>
      <c r="D3" s="5" t="s">
        <v>5</v>
      </c>
      <c r="E3" s="6" t="s">
        <v>6</v>
      </c>
      <c r="F3" s="7">
        <v>300</v>
      </c>
      <c r="G3" s="8">
        <f t="shared" ref="G3:G13" si="0">F3*0.715</f>
        <v>214.5</v>
      </c>
    </row>
    <row r="4" spans="3:7">
      <c r="C4" s="13">
        <v>2</v>
      </c>
      <c r="D4" s="5" t="s">
        <v>27</v>
      </c>
      <c r="E4" s="6" t="s">
        <v>28</v>
      </c>
      <c r="F4" s="7">
        <v>90</v>
      </c>
      <c r="G4" s="8">
        <f t="shared" si="0"/>
        <v>64.35</v>
      </c>
    </row>
    <row r="5" spans="3:7">
      <c r="C5" s="13">
        <v>3</v>
      </c>
      <c r="D5" s="5" t="s">
        <v>29</v>
      </c>
      <c r="E5" s="6" t="s">
        <v>30</v>
      </c>
      <c r="F5" s="7">
        <v>120</v>
      </c>
      <c r="G5" s="8">
        <f t="shared" si="0"/>
        <v>85.8</v>
      </c>
    </row>
    <row r="6" spans="3:7">
      <c r="C6" s="13">
        <v>4</v>
      </c>
      <c r="D6" s="5" t="s">
        <v>31</v>
      </c>
      <c r="E6" s="6" t="s">
        <v>32</v>
      </c>
      <c r="F6" s="7">
        <v>140</v>
      </c>
      <c r="G6" s="8">
        <f t="shared" si="0"/>
        <v>100.1</v>
      </c>
    </row>
    <row r="7" ht="30" spans="3:7">
      <c r="C7" s="13">
        <v>5</v>
      </c>
      <c r="D7" s="5" t="s">
        <v>41</v>
      </c>
      <c r="E7" s="6" t="s">
        <v>42</v>
      </c>
      <c r="F7" s="7">
        <v>220</v>
      </c>
      <c r="G7" s="8">
        <f t="shared" si="0"/>
        <v>157.3</v>
      </c>
    </row>
    <row r="8" ht="30" spans="3:7">
      <c r="C8" s="13">
        <v>6</v>
      </c>
      <c r="D8" s="5" t="s">
        <v>43</v>
      </c>
      <c r="E8" s="6" t="s">
        <v>44</v>
      </c>
      <c r="F8" s="7">
        <v>250</v>
      </c>
      <c r="G8" s="8">
        <f t="shared" si="0"/>
        <v>178.75</v>
      </c>
    </row>
    <row r="9" ht="30" spans="3:7">
      <c r="C9" s="13">
        <v>7</v>
      </c>
      <c r="D9" s="5" t="s">
        <v>45</v>
      </c>
      <c r="E9" s="6" t="s">
        <v>46</v>
      </c>
      <c r="F9" s="7">
        <v>250</v>
      </c>
      <c r="G9" s="8">
        <f t="shared" si="0"/>
        <v>178.75</v>
      </c>
    </row>
    <row r="10" ht="30" spans="3:7">
      <c r="C10" s="13">
        <v>8</v>
      </c>
      <c r="D10" s="5" t="s">
        <v>47</v>
      </c>
      <c r="E10" s="6" t="s">
        <v>48</v>
      </c>
      <c r="F10" s="7">
        <v>450</v>
      </c>
      <c r="G10" s="8">
        <f t="shared" si="0"/>
        <v>321.75</v>
      </c>
    </row>
    <row r="11" spans="3:7">
      <c r="C11" s="13">
        <v>9</v>
      </c>
      <c r="D11" s="5" t="s">
        <v>74</v>
      </c>
      <c r="E11" s="6" t="s">
        <v>75</v>
      </c>
      <c r="F11" s="7">
        <v>190</v>
      </c>
      <c r="G11" s="8">
        <f t="shared" si="0"/>
        <v>135.85</v>
      </c>
    </row>
    <row r="12" spans="3:7">
      <c r="C12" s="13">
        <v>10</v>
      </c>
      <c r="D12" s="13" t="s">
        <v>127</v>
      </c>
      <c r="E12" s="6" t="s">
        <v>128</v>
      </c>
      <c r="F12" s="7">
        <v>100</v>
      </c>
      <c r="G12" s="8">
        <v>71.5</v>
      </c>
    </row>
    <row r="13" spans="3:7">
      <c r="C13" s="13">
        <v>11</v>
      </c>
      <c r="D13" s="5" t="s">
        <v>129</v>
      </c>
      <c r="E13" s="6" t="s">
        <v>79</v>
      </c>
      <c r="F13" s="7">
        <v>160</v>
      </c>
      <c r="G13" s="8">
        <v>114.4</v>
      </c>
    </row>
    <row r="14" spans="3:7">
      <c r="C14" s="13">
        <v>12</v>
      </c>
      <c r="D14" s="13" t="s">
        <v>130</v>
      </c>
      <c r="E14" s="6" t="s">
        <v>131</v>
      </c>
      <c r="F14" s="7">
        <v>170</v>
      </c>
      <c r="G14" s="8">
        <v>121.55</v>
      </c>
    </row>
    <row r="15" spans="3:7">
      <c r="C15" s="13">
        <v>13</v>
      </c>
      <c r="D15" s="13" t="s">
        <v>132</v>
      </c>
      <c r="E15" s="6" t="s">
        <v>133</v>
      </c>
      <c r="F15" s="7">
        <v>330</v>
      </c>
      <c r="G15" s="8">
        <v>235.95</v>
      </c>
    </row>
    <row r="16" spans="3:7">
      <c r="C16" s="13">
        <v>14</v>
      </c>
      <c r="D16" s="5" t="s">
        <v>76</v>
      </c>
      <c r="E16" s="6" t="s">
        <v>134</v>
      </c>
      <c r="F16" s="7">
        <v>250</v>
      </c>
      <c r="G16" s="8">
        <f>F16*0.715</f>
        <v>178.75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20"/>
  <sheetViews>
    <sheetView workbookViewId="0">
      <selection activeCell="C3" sqref="C3:G3"/>
    </sheetView>
  </sheetViews>
  <sheetFormatPr defaultColWidth="9.14285714285714" defaultRowHeight="15" outlineLevelCol="6"/>
  <cols>
    <col min="4" max="4" width="19.8571428571429" customWidth="1"/>
    <col min="5" max="5" width="69.8571428571429" customWidth="1"/>
  </cols>
  <sheetData>
    <row r="3" ht="15.75" spans="3:7">
      <c r="C3" s="1" t="s">
        <v>0</v>
      </c>
      <c r="D3" s="2" t="s">
        <v>1</v>
      </c>
      <c r="E3" s="2" t="s">
        <v>2</v>
      </c>
      <c r="F3" s="3" t="s">
        <v>3</v>
      </c>
      <c r="G3" s="2" t="s">
        <v>4</v>
      </c>
    </row>
    <row r="4" spans="3:7">
      <c r="C4" s="14">
        <v>1</v>
      </c>
      <c r="D4" s="14" t="s">
        <v>135</v>
      </c>
      <c r="E4" s="14" t="s">
        <v>136</v>
      </c>
      <c r="F4" s="14">
        <v>280</v>
      </c>
      <c r="G4" s="14">
        <v>200</v>
      </c>
    </row>
    <row r="5" spans="3:7">
      <c r="C5" s="14">
        <v>2</v>
      </c>
      <c r="D5" s="15" t="s">
        <v>27</v>
      </c>
      <c r="E5" s="16" t="s">
        <v>28</v>
      </c>
      <c r="F5" s="17">
        <v>90</v>
      </c>
      <c r="G5" s="18">
        <f>F5*0.715</f>
        <v>64.35</v>
      </c>
    </row>
    <row r="6" ht="42.75" spans="3:7">
      <c r="C6" s="14">
        <v>3</v>
      </c>
      <c r="D6" s="15" t="s">
        <v>91</v>
      </c>
      <c r="E6" s="19" t="s">
        <v>92</v>
      </c>
      <c r="F6" s="17">
        <v>250</v>
      </c>
      <c r="G6" s="18">
        <f>F6*0.715</f>
        <v>178.75</v>
      </c>
    </row>
    <row r="7" spans="3:7">
      <c r="C7" s="14">
        <v>4</v>
      </c>
      <c r="D7" s="14" t="s">
        <v>127</v>
      </c>
      <c r="E7" s="16" t="s">
        <v>128</v>
      </c>
      <c r="F7" s="17">
        <v>100</v>
      </c>
      <c r="G7" s="18">
        <v>71.5</v>
      </c>
    </row>
    <row r="8" spans="3:7">
      <c r="C8" s="14">
        <v>5</v>
      </c>
      <c r="D8" s="15" t="s">
        <v>129</v>
      </c>
      <c r="E8" s="16" t="s">
        <v>79</v>
      </c>
      <c r="F8" s="17">
        <v>160</v>
      </c>
      <c r="G8" s="18">
        <v>114.4</v>
      </c>
    </row>
    <row r="9" spans="3:7">
      <c r="C9" s="14">
        <v>6</v>
      </c>
      <c r="D9" s="14" t="s">
        <v>130</v>
      </c>
      <c r="E9" s="16" t="s">
        <v>131</v>
      </c>
      <c r="F9" s="17">
        <v>170</v>
      </c>
      <c r="G9" s="18">
        <v>121.55</v>
      </c>
    </row>
    <row r="10" spans="3:7">
      <c r="C10" s="14">
        <v>7</v>
      </c>
      <c r="D10" s="14" t="s">
        <v>132</v>
      </c>
      <c r="E10" s="16" t="s">
        <v>133</v>
      </c>
      <c r="F10" s="17">
        <v>330</v>
      </c>
      <c r="G10" s="18">
        <v>235.95</v>
      </c>
    </row>
    <row r="11" spans="3:7">
      <c r="C11" s="14">
        <v>8</v>
      </c>
      <c r="D11" s="15" t="s">
        <v>76</v>
      </c>
      <c r="E11" s="16" t="s">
        <v>134</v>
      </c>
      <c r="F11" s="17">
        <v>250</v>
      </c>
      <c r="G11" s="18">
        <f>F11*0.715</f>
        <v>178.75</v>
      </c>
    </row>
    <row r="12" spans="3:7">
      <c r="C12" s="14">
        <v>9</v>
      </c>
      <c r="D12" s="14" t="s">
        <v>137</v>
      </c>
      <c r="E12" s="14" t="s">
        <v>138</v>
      </c>
      <c r="F12" s="14">
        <v>250</v>
      </c>
      <c r="G12" s="14">
        <v>167.5</v>
      </c>
    </row>
    <row r="13" spans="3:7">
      <c r="C13" s="14">
        <v>10</v>
      </c>
      <c r="D13" s="14" t="s">
        <v>139</v>
      </c>
      <c r="E13" s="14" t="s">
        <v>140</v>
      </c>
      <c r="F13" s="14">
        <v>139</v>
      </c>
      <c r="G13" s="14">
        <v>99.38</v>
      </c>
    </row>
    <row r="14" spans="3:7">
      <c r="C14" s="14">
        <v>11</v>
      </c>
      <c r="D14" s="14" t="s">
        <v>141</v>
      </c>
      <c r="E14" s="14" t="s">
        <v>142</v>
      </c>
      <c r="F14" s="14">
        <v>350</v>
      </c>
      <c r="G14" s="14">
        <v>250</v>
      </c>
    </row>
    <row r="15" ht="30" spans="3:7">
      <c r="C15" s="14">
        <v>12</v>
      </c>
      <c r="D15" s="15" t="s">
        <v>5</v>
      </c>
      <c r="E15" s="16" t="s">
        <v>6</v>
      </c>
      <c r="F15" s="17">
        <v>300</v>
      </c>
      <c r="G15" s="18">
        <f t="shared" ref="G15:G20" si="0">F15*0.715</f>
        <v>214.5</v>
      </c>
    </row>
    <row r="16" ht="30" spans="3:7">
      <c r="C16" s="14">
        <v>13</v>
      </c>
      <c r="D16" s="15" t="s">
        <v>47</v>
      </c>
      <c r="E16" s="16" t="s">
        <v>48</v>
      </c>
      <c r="F16" s="17">
        <v>450</v>
      </c>
      <c r="G16" s="18">
        <f t="shared" si="0"/>
        <v>321.75</v>
      </c>
    </row>
    <row r="17" spans="3:7">
      <c r="C17" s="14">
        <v>14</v>
      </c>
      <c r="D17" s="15" t="s">
        <v>74</v>
      </c>
      <c r="E17" s="16" t="s">
        <v>75</v>
      </c>
      <c r="F17" s="17">
        <v>190</v>
      </c>
      <c r="G17" s="18">
        <f t="shared" si="0"/>
        <v>135.85</v>
      </c>
    </row>
    <row r="18" spans="3:7">
      <c r="C18" s="14">
        <v>15</v>
      </c>
      <c r="D18" s="15" t="s">
        <v>29</v>
      </c>
      <c r="E18" s="16" t="s">
        <v>30</v>
      </c>
      <c r="F18" s="17">
        <v>120</v>
      </c>
      <c r="G18" s="18">
        <f t="shared" si="0"/>
        <v>85.8</v>
      </c>
    </row>
    <row r="19" spans="3:7">
      <c r="C19" s="14">
        <v>16</v>
      </c>
      <c r="D19" s="15" t="s">
        <v>31</v>
      </c>
      <c r="E19" s="16" t="s">
        <v>32</v>
      </c>
      <c r="F19" s="17">
        <v>140</v>
      </c>
      <c r="G19" s="18">
        <f t="shared" si="0"/>
        <v>100.1</v>
      </c>
    </row>
    <row r="20" ht="30" spans="3:7">
      <c r="C20" s="14">
        <v>17</v>
      </c>
      <c r="D20" s="15" t="s">
        <v>41</v>
      </c>
      <c r="E20" s="16" t="s">
        <v>42</v>
      </c>
      <c r="F20" s="17">
        <v>220</v>
      </c>
      <c r="G20" s="18">
        <f t="shared" si="0"/>
        <v>157.3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E28" sqref="E28"/>
    </sheetView>
  </sheetViews>
  <sheetFormatPr defaultColWidth="9.14285714285714" defaultRowHeight="15" outlineLevelCol="6"/>
  <cols>
    <col min="4" max="4" width="22.8571428571429" customWidth="1"/>
    <col min="5" max="5" width="52.1428571428571" customWidth="1"/>
  </cols>
  <sheetData>
    <row r="1" spans="1:1">
      <c r="A1" t="s">
        <v>143</v>
      </c>
    </row>
    <row r="5" ht="15.75" spans="3:7">
      <c r="C5" s="1" t="s">
        <v>0</v>
      </c>
      <c r="D5" s="2" t="s">
        <v>1</v>
      </c>
      <c r="E5" s="2" t="s">
        <v>2</v>
      </c>
      <c r="F5" s="3" t="s">
        <v>3</v>
      </c>
      <c r="G5" s="2" t="s">
        <v>4</v>
      </c>
    </row>
    <row r="6" ht="45" spans="3:7">
      <c r="C6" s="4">
        <v>1</v>
      </c>
      <c r="D6" s="5" t="s">
        <v>144</v>
      </c>
      <c r="E6" s="6" t="s">
        <v>50</v>
      </c>
      <c r="F6" s="7">
        <v>350</v>
      </c>
      <c r="G6" s="8">
        <f t="shared" ref="G6:G15" si="0">F6*0.715</f>
        <v>250.25</v>
      </c>
    </row>
    <row r="7" ht="45" spans="3:7">
      <c r="C7" s="4">
        <v>2</v>
      </c>
      <c r="D7" s="5" t="s">
        <v>145</v>
      </c>
      <c r="E7" s="6" t="s">
        <v>40</v>
      </c>
      <c r="F7" s="7">
        <v>700</v>
      </c>
      <c r="G7" s="8">
        <v>469</v>
      </c>
    </row>
    <row r="8" spans="3:7">
      <c r="C8" s="4">
        <v>3</v>
      </c>
      <c r="D8" s="5" t="s">
        <v>146</v>
      </c>
      <c r="E8" s="6" t="s">
        <v>28</v>
      </c>
      <c r="F8" s="7">
        <v>90</v>
      </c>
      <c r="G8" s="8">
        <f t="shared" si="0"/>
        <v>64.35</v>
      </c>
    </row>
    <row r="9" ht="45" spans="3:7">
      <c r="C9" s="4">
        <v>4</v>
      </c>
      <c r="D9" s="9" t="s">
        <v>5</v>
      </c>
      <c r="E9" s="6" t="s">
        <v>6</v>
      </c>
      <c r="F9" s="10">
        <v>300</v>
      </c>
      <c r="G9" s="11">
        <f t="shared" si="0"/>
        <v>214.5</v>
      </c>
    </row>
    <row r="10" spans="3:7">
      <c r="C10" s="4">
        <v>5</v>
      </c>
      <c r="D10" s="5" t="s">
        <v>147</v>
      </c>
      <c r="E10" s="12" t="s">
        <v>110</v>
      </c>
      <c r="F10" s="7">
        <v>350</v>
      </c>
      <c r="G10" s="8">
        <f t="shared" si="0"/>
        <v>250.25</v>
      </c>
    </row>
    <row r="11" ht="45" spans="3:7">
      <c r="C11" s="4">
        <v>6</v>
      </c>
      <c r="D11" s="5" t="s">
        <v>148</v>
      </c>
      <c r="E11" s="6" t="s">
        <v>42</v>
      </c>
      <c r="F11" s="7">
        <v>220</v>
      </c>
      <c r="G11" s="8">
        <f t="shared" si="0"/>
        <v>157.3</v>
      </c>
    </row>
    <row r="12" spans="3:7">
      <c r="C12" s="4">
        <v>7</v>
      </c>
      <c r="D12" s="5" t="s">
        <v>149</v>
      </c>
      <c r="E12" s="6" t="s">
        <v>30</v>
      </c>
      <c r="F12" s="7">
        <v>120</v>
      </c>
      <c r="G12" s="8">
        <f t="shared" si="0"/>
        <v>85.8</v>
      </c>
    </row>
    <row r="13" spans="3:7">
      <c r="C13" s="4">
        <v>8</v>
      </c>
      <c r="D13" s="5" t="s">
        <v>150</v>
      </c>
      <c r="E13" s="6" t="s">
        <v>32</v>
      </c>
      <c r="F13" s="7">
        <v>140</v>
      </c>
      <c r="G13" s="8">
        <f t="shared" si="0"/>
        <v>100.1</v>
      </c>
    </row>
    <row r="14" spans="3:7">
      <c r="C14" s="4">
        <v>9</v>
      </c>
      <c r="D14" s="5" t="s">
        <v>151</v>
      </c>
      <c r="E14" s="6" t="s">
        <v>56</v>
      </c>
      <c r="F14" s="7">
        <v>280</v>
      </c>
      <c r="G14" s="8">
        <f t="shared" si="0"/>
        <v>200.2</v>
      </c>
    </row>
    <row r="15" ht="30" spans="3:7">
      <c r="C15" s="4">
        <v>10</v>
      </c>
      <c r="D15" s="5" t="s">
        <v>152</v>
      </c>
      <c r="E15" s="6" t="s">
        <v>24</v>
      </c>
      <c r="F15" s="7">
        <v>200</v>
      </c>
      <c r="G15" s="8">
        <f t="shared" si="0"/>
        <v>143</v>
      </c>
    </row>
    <row r="16" spans="3:7">
      <c r="C16" s="13">
        <v>11</v>
      </c>
      <c r="D16" s="13" t="s">
        <v>153</v>
      </c>
      <c r="E16" s="13" t="s">
        <v>154</v>
      </c>
      <c r="F16" s="13">
        <v>299</v>
      </c>
      <c r="G16" s="13">
        <v>200.33</v>
      </c>
    </row>
    <row r="17" spans="3:7">
      <c r="C17" s="13">
        <v>12</v>
      </c>
      <c r="D17" s="13" t="s">
        <v>155</v>
      </c>
      <c r="E17" s="13" t="s">
        <v>156</v>
      </c>
      <c r="F17" s="13">
        <v>180</v>
      </c>
      <c r="G17" s="13">
        <v>120.6</v>
      </c>
    </row>
    <row r="18" spans="3:7">
      <c r="C18" s="13">
        <v>13</v>
      </c>
      <c r="D18" s="13" t="s">
        <v>157</v>
      </c>
      <c r="E18" s="13" t="s">
        <v>158</v>
      </c>
      <c r="F18" s="13">
        <v>270</v>
      </c>
      <c r="G18" s="13">
        <v>180.9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Pediac</vt:lpstr>
      <vt:lpstr>Ortho</vt:lpstr>
      <vt:lpstr>Neuro</vt:lpstr>
      <vt:lpstr>Gynac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world</dc:creator>
  <cp:lastModifiedBy>mateti srinivas</cp:lastModifiedBy>
  <dcterms:created xsi:type="dcterms:W3CDTF">2024-02-15T05:58:00Z</dcterms:created>
  <dcterms:modified xsi:type="dcterms:W3CDTF">2025-09-15T15:16:45Z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8849FC6D90CB44B8B5FD29B79D1A6959_13</vt:lpwstr>
  </property>
  <property fmtid="{D5CDD505-2E9C-101B-9397-08002B2CF9AE}" pid="3" name="KSOProductBuildVer">
    <vt:lpwstr>1033-12.2.0.22549</vt:lpwstr>
  </property>
</Properties>
</file>